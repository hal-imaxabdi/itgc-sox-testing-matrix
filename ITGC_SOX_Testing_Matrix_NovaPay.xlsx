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Point" sheetId="1" r:id="rId5"/>
    <sheet state="visible" name="Access Management" sheetId="2" r:id="rId6"/>
    <sheet state="visible" name="Change Management" sheetId="3" r:id="rId7"/>
    <sheet state="visible" name="Data Operations" sheetId="4" r:id="rId8"/>
    <sheet state="visible" name="Findings Summary" sheetId="5" r:id="rId9"/>
  </sheets>
  <definedNames>
    <definedName hidden="1" localSheetId="1" name="_xlnm._FilterDatabase">'Access Management'!$A$4:$J$7</definedName>
    <definedName hidden="1" localSheetId="2" name="_xlnm._FilterDatabase">'Change Management'!$A$4:$J$7</definedName>
    <definedName hidden="1" localSheetId="3" name="_xlnm._FilterDatabase">'Data Operations'!$A$4:$J$8</definedName>
    <definedName hidden="1" localSheetId="4" name="_xlnm._FilterDatabase">'Findings Summary'!$A$14:$H$16</definedName>
  </definedNames>
  <calcPr/>
</workbook>
</file>

<file path=xl/sharedStrings.xml><?xml version="1.0" encoding="utf-8"?>
<sst xmlns="http://schemas.openxmlformats.org/spreadsheetml/2006/main" count="221" uniqueCount="162">
  <si>
    <t>CHANGE MANAGEMENT</t>
  </si>
  <si>
    <t>DATA OPERATIONS</t>
  </si>
  <si>
    <t>ACCESS MANAGEMENT</t>
  </si>
  <si>
    <t>ITGC Testing Matrix  [ SOX Compliance Simulation ]</t>
  </si>
  <si>
    <t>Here its tests whether the right people only  can log into the Payment Processing &amp; Ledger System, and that access is removed promptly when it is no longer needed.</t>
  </si>
  <si>
    <t>Tests whether updates to the ledger system's code go through independent review and approval before reaching production, so no single person can alter financial logic unchecked.</t>
  </si>
  <si>
    <t>Tests whether financial data is reliably backed up, whether those backups actually work when needed, and whether automated processing jobs are monitored for silent failure.</t>
  </si>
  <si>
    <t xml:space="preserve">Fictional Company: NovaPay </t>
  </si>
  <si>
    <t>Control ID</t>
  </si>
  <si>
    <t xml:space="preserve">          System in Scope: Payment Processing &amp; Ledger System</t>
  </si>
  <si>
    <t>Control Objective</t>
  </si>
  <si>
    <t>Control Activity (Description)</t>
  </si>
  <si>
    <t>Control Type</t>
  </si>
  <si>
    <t>Frequency</t>
  </si>
  <si>
    <t>Testing Procedure</t>
  </si>
  <si>
    <t>Sample Size</t>
  </si>
  <si>
    <t>Evidence Requested</t>
  </si>
  <si>
    <t>Test Result</t>
  </si>
  <si>
    <t>Auditor Notes</t>
  </si>
  <si>
    <t>AM-01</t>
  </si>
  <si>
    <t>Prevent unauthorized individuals from being granted access to the financial system</t>
  </si>
  <si>
    <t>New user access to the Payment Processing &amp; Ledger System requires documented manager approval before provisioning</t>
  </si>
  <si>
    <t>1. WHAT THIS WORKBOOK IS</t>
  </si>
  <si>
    <t>CM-01</t>
  </si>
  <si>
    <t>DO-01</t>
  </si>
  <si>
    <t>Prevent a single developer from unilaterally introducing erroneous or malicious code</t>
  </si>
  <si>
    <t>All code changes require an approving peer reviewer, distinct from the author, before merging to the production branch</t>
  </si>
  <si>
    <t>Preventive</t>
  </si>
  <si>
    <t>Ensure financial transaction history can be recovered in the event of system failure or data loss</t>
  </si>
  <si>
    <t>The Payment Processing &amp; Ledger System database is backed up on a daily automated schedule</t>
  </si>
  <si>
    <t>Continuous</t>
  </si>
  <si>
    <t>Select a sample of new hires granted system access in the last two quarters. Verify each has an approval record dated before the access-grant date.</t>
  </si>
  <si>
    <t>5 of 20 requests</t>
  </si>
  <si>
    <t>Access request tickets; provisioning timestamps</t>
  </si>
  <si>
    <t>Pass</t>
  </si>
  <si>
    <t>All 5 sampled requests had approval on file prior to provisioning. No exceptions noted.</t>
  </si>
  <si>
    <t>AM-02</t>
  </si>
  <si>
    <t>Select a sample of production deployments in the quarter. Verify each has an associated pull request with an approver different from the author.</t>
  </si>
  <si>
    <t>5 of 30 deployments</t>
  </si>
  <si>
    <t>Daily</t>
  </si>
  <si>
    <t>Git / pull request logs showing author and approver</t>
  </si>
  <si>
    <t>Review automated backup job logs for the full quarter. Confirm a successful backup exists for every calendar day.</t>
  </si>
  <si>
    <t>Prevent former employees from retaining access to financial data after separation</t>
  </si>
  <si>
    <t>100% of daily logs</t>
  </si>
  <si>
    <t>Terminated employee access to the ledger system is revoked within 24 hours of the separation date</t>
  </si>
  <si>
    <t>Backup job success/failure logs</t>
  </si>
  <si>
    <t>Purpose</t>
  </si>
  <si>
    <t>All 5 sampled deployments had a distinct, documented approver prior to merge.</t>
  </si>
  <si>
    <t>This workbook simulates a SOX IT General Controls audit. It demonstrates how an IT auditor identifies, tests, and reports on the technology controls that protect the integrity of financial data,  separate from checking whether the financial numbers themselves are correct (that is the financial auditor's job).</t>
  </si>
  <si>
    <t>All 92 days in the quarter show a completed, successful backup. No gaps identified.</t>
  </si>
  <si>
    <t>CM-02</t>
  </si>
  <si>
    <t>Pull termination dates from HR records for the period. Compare against system deactivation timestamps for the same individuals.</t>
  </si>
  <si>
    <t>5 of 15 terminations</t>
  </si>
  <si>
    <t>HR termination log; IT deactivation log</t>
  </si>
  <si>
    <t>Fail</t>
  </si>
  <si>
    <t>Prevent the same individual from both writing and releasing code with no independent oversight (segregation of duties)</t>
  </si>
  <si>
    <t>DO-02</t>
  </si>
  <si>
    <t>1 of 5 sampled terminations had access revoked 4 days late. Root cause: HR notified IT via informal email rather than the ticketing system, and the notice was missed. See Finding F-01.</t>
  </si>
  <si>
    <t>AM-03</t>
  </si>
  <si>
    <t>The engineer who commits code to the repository cannot also be the person who deploys it to production</t>
  </si>
  <si>
    <t>Prevent accumulation of unnecessary privileged access over time ("access creep")</t>
  </si>
  <si>
    <t>Privileged/administrator accounts on the ledger system are formally reviewed each quarter for continued business need</t>
  </si>
  <si>
    <t>Ensure backups are actually usable, not just present</t>
  </si>
  <si>
    <t>Detective</t>
  </si>
  <si>
    <t>Quarterly</t>
  </si>
  <si>
    <t>Obtain the Q3 privileged access review sign-off. Verify the review was completed and any flagged accounts were remediated.</t>
  </si>
  <si>
    <t>Backup restoration is tested on a quarterly basis in a non-production environment</t>
  </si>
  <si>
    <t>1 review cycle</t>
  </si>
  <si>
    <t>Signed quarterly access review document</t>
  </si>
  <si>
    <t>Q3 review was completed on schedule; two flagged accounts were downgraded within 5 business days.</t>
  </si>
  <si>
    <t>Why it matters</t>
  </si>
  <si>
    <t>If the IT environment underneath a financial system is weak then anyone can log in, code can be pushed without review, backups don't work and the financial statements built on top of that system cannot be trusted, no matter how correct the accounting looks on paper.</t>
  </si>
  <si>
    <t>For the same deployment sample as CM-01, compare the "committer" field against the "deployed by" field in CI/CD pipeline logs.</t>
  </si>
  <si>
    <t>Obtain evidence of the most recent restoration test. Verify it was performed and completed successfully within the quarter.</t>
  </si>
  <si>
    <t>CI/CD pipeline deployment logs</t>
  </si>
  <si>
    <t>1 test cycle</t>
  </si>
  <si>
    <t>Restoration test report</t>
  </si>
  <si>
    <t>1 of 5 sampled deployments showed the same engineer as both committer and deployer, during a Friday evening release when the usual approving engineer was on leave. See Finding F-02.</t>
  </si>
  <si>
    <t>CM-03</t>
  </si>
  <si>
    <t>Q3 restoration test completed successfully; restored data reconciled to source within acceptable tolerance.</t>
  </si>
  <si>
    <t>Ensure urgent, out-of-process fixes still receive oversight rather than becoming a permanent loophole</t>
  </si>
  <si>
    <t>Emergency ("break-glass") changes are logged at the time of deployment and receive retroactive approval within 48 hours</t>
  </si>
  <si>
    <t>DO-03</t>
  </si>
  <si>
    <t>Ensure a failed automated financial calculation does not silently corrupt reported figures</t>
  </si>
  <si>
    <t>Failed nightly batch jobs (e.g., transaction reconciliation) trigger an automated alert and are resolved the same day</t>
  </si>
  <si>
    <t>Pull the full emergency change log for the period. Verify each entry has a retroactive approval timestamped within 48 hours of deployment.</t>
  </si>
  <si>
    <t>2. THE SCENARIO</t>
  </si>
  <si>
    <t>100% of emergency changes</t>
  </si>
  <si>
    <t>Emergency change log; retroactive approval sign-off</t>
  </si>
  <si>
    <t>Pull the batch job monitoring log for the period. Identify any failures and verify each has a same-day resolution timestamp.</t>
  </si>
  <si>
    <t>100% of job logs, with drill-down on failures</t>
  </si>
  <si>
    <t>3 emergency changes occurred in the period; all 3 had retroactive approval logged within 24 hours.</t>
  </si>
  <si>
    <t>Job scheduler logs; incident tickets</t>
  </si>
  <si>
    <t>2 job failures occurred in the quarter, both due to a transient network timeout; both were alerted and resolved within 3 hours.</t>
  </si>
  <si>
    <t>DO-04</t>
  </si>
  <si>
    <t>Ensure backup settings themselves cannot be quietly weakened or disabled by unauthorized staff</t>
  </si>
  <si>
    <t>Company</t>
  </si>
  <si>
    <t>Access to modify backup configuration settings is restricted to designated infrastructure staff only</t>
  </si>
  <si>
    <t>NovaPay (a fictional mid-size fintech) company that processes online payments for small merchants and is subject to SOX because it is publicly traded.</t>
  </si>
  <si>
    <t>Review the current access control list for the backup configuration system. Verify membership is limited to the designated infrastructure team.</t>
  </si>
  <si>
    <t>100% of access list</t>
  </si>
  <si>
    <t>System access control list export</t>
  </si>
  <si>
    <t>Access list contains 3 individuals, all confirmed members of the Infrastructure team. No unauthorized accounts found.</t>
  </si>
  <si>
    <t>System in scope</t>
  </si>
  <si>
    <t>The Payment Processing &amp; Ledger System: captures every merchant transaction, calculates fees, and posts entries to the general ledger that feeds NovaPay's quarterly financial statements.</t>
  </si>
  <si>
    <t>Audit objective</t>
  </si>
  <si>
    <t>Determine whether IT General Controls provide reasonable assurance that financial data processed by this system is complete, accurate, and protected from unauthorized change.</t>
  </si>
  <si>
    <t>3. HOW THE WORKBOOK IS ORGANIZED</t>
  </si>
  <si>
    <t>Tab: Access Management</t>
  </si>
  <si>
    <t>Who can get into the system, and how that access is controlled over time (onboarding, offboarding, privileged access reviews).</t>
  </si>
  <si>
    <t>Tab: Change Management</t>
  </si>
  <si>
    <t>How updates to the system's code are approved, reviewed, and deployed, including segregation of duties between writing and releasing code.</t>
  </si>
  <si>
    <t>Tab: Data Operations</t>
  </si>
  <si>
    <t>Whether financial data is backed up, whether those backups actually work, and whether automated processing jobs are monitored.</t>
  </si>
  <si>
    <t>Tab: Findings Summary</t>
  </si>
  <si>
    <t>The audit's bottom line is every control that failed testing, how serious the risk is, and what remediation was recommended.</t>
  </si>
  <si>
    <t>4. HOW TO READ EACH CONTROL ROW</t>
  </si>
  <si>
    <t>A short code (e.g., AM-01) used to reference the control elsewhere, especially in the Findings Summary tab.</t>
  </si>
  <si>
    <t>The specific risk this control exists to prevent.</t>
  </si>
  <si>
    <t>Control Activity</t>
  </si>
  <si>
    <t>What the company says it does; the policy or mechanism in place.</t>
  </si>
  <si>
    <t>Preventive (stops an error/fraud before it happens) or Detective (catches it after the fact).</t>
  </si>
  <si>
    <t>The exact steps an auditor takes to verify the control is actually working, not just written down.</t>
  </si>
  <si>
    <t>How many instances were checked, auditors rarely test 100% of everything, so sampling logic matters.</t>
  </si>
  <si>
    <t>The specific artifact (log, ticket, screenshot) that proves the control operated.</t>
  </si>
  <si>
    <t>Pass, Fail, or Exception (color-coded green / red / amber so results are visible at a glance.)</t>
  </si>
  <si>
    <t>5. COLOR KEY USED THROUGHOUT</t>
  </si>
  <si>
    <t>The control operated effectively for the full sample tested and no exceptions found.</t>
  </si>
  <si>
    <t>The control did not operate as intended for one or more items tested; a Finding is raised.</t>
  </si>
  <si>
    <t>Exception</t>
  </si>
  <si>
    <t>A minor deviation was noted that does not rise to a full control failure but is worth tracking.</t>
  </si>
  <si>
    <t>FINDINGS SUMMARY</t>
  </si>
  <si>
    <t>Every control that did not pass testing becomes a formal Finding here, with a risk rating, root cause, recommendation, and management's committed remediation date.</t>
  </si>
  <si>
    <t>OVERALL TESTING RESULTS</t>
  </si>
  <si>
    <t>Total Controls Tested</t>
  </si>
  <si>
    <t>Passed</t>
  </si>
  <si>
    <t>Failed</t>
  </si>
  <si>
    <t>Exceptions</t>
  </si>
  <si>
    <t>Result</t>
  </si>
  <si>
    <t>Count</t>
  </si>
  <si>
    <t>DETAILED FINDINGS</t>
  </si>
  <si>
    <t>Finding ID</t>
  </si>
  <si>
    <t>Related Control</t>
  </si>
  <si>
    <t>Risk Rating</t>
  </si>
  <si>
    <t>Description</t>
  </si>
  <si>
    <t>Recommendation</t>
  </si>
  <si>
    <t>Management Response</t>
  </si>
  <si>
    <t>Target Remediation Date</t>
  </si>
  <si>
    <t>Status</t>
  </si>
  <si>
    <t>F-01</t>
  </si>
  <si>
    <t>Medium</t>
  </si>
  <si>
    <t>1 of 5 sampled terminated employees had ledger-system access revoked 4 days after separation, rather than within the required 24-hour window. Root cause: HR notified IT via an informal email rather than the ticketing system, and the notice was missed.</t>
  </si>
  <si>
    <t>Implement an automated deprovisioning trigger from the HR information system directly to the IT access system, removing reliance on manual email handoffs.</t>
  </si>
  <si>
    <t>Remediation in progress; automated trigger targeted for Q1 2027.</t>
  </si>
  <si>
    <t>Q1 2027</t>
  </si>
  <si>
    <t>Open</t>
  </si>
  <si>
    <t>F-02</t>
  </si>
  <si>
    <t>High</t>
  </si>
  <si>
    <t>1 of 5 sampled production deployments showed the same engineer as both the code committer and the deployer, breaking segregation of duties. This occurred during an evening release when the usual approving engineer was on leave.</t>
  </si>
  <si>
    <t>Enforce a hard restriction in the CI/CD pipeline preventing any engineer from deploying code they personally authored, regardless of staffing levels, and require a designated backup approver at all times.</t>
  </si>
  <si>
    <t>Remediation in progress; pipeline control update targeted for Q4 2026.</t>
  </si>
  <si>
    <t>Q4 2026</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</si>
</sst>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sz val="13.0"/>
      <color theme="1"/>
      <name val="Times New Roman"/>
    </font>
    <font>
      <b/>
      <sz val="14.0"/>
      <color rgb="FF2E6E5E"/>
      <name val="Arial"/>
    </font>
    <font>
      <b/>
      <sz val="13.0"/>
      <color rgb="FF2E6E5E"/>
      <name val="Times New Roman"/>
    </font>
    <font>
      <sz val="11.0"/>
      <color rgb="FF000000"/>
      <name val="Arial"/>
    </font>
    <font>
      <sz val="13.0"/>
      <color rgb="FF595959"/>
      <name val="Times New Roman"/>
    </font>
    <font>
      <b/>
      <sz val="10.0"/>
      <color rgb="FFFFFFFF"/>
      <name val="Arial"/>
    </font>
    <font>
      <b/>
      <sz val="13.0"/>
      <color rgb="FFFFFFFF"/>
      <name val="Times New Roman"/>
    </font>
    <font>
      <b/>
      <sz val="10.0"/>
      <color rgb="FF262626"/>
      <name val="Arial"/>
    </font>
    <font>
      <sz val="10.0"/>
      <color rgb="FF262626"/>
      <name val="Arial"/>
    </font>
    <font/>
    <font>
      <b/>
      <sz val="13.0"/>
      <color rgb="FF262626"/>
      <name val="Times New Roman"/>
    </font>
    <font>
      <sz val="13.0"/>
      <color rgb="FF262626"/>
      <name val="Times New Roman"/>
    </font>
    <font>
      <b/>
      <sz val="13.0"/>
      <color rgb="FF1E6B2E"/>
      <name val="Times New Roman"/>
    </font>
    <font>
      <b/>
      <sz val="13.0"/>
      <color rgb="FF9C1F1F"/>
      <name val="Times New Roman"/>
    </font>
    <font>
      <b/>
      <sz val="13.0"/>
      <color rgb="FF8A6100"/>
      <name val="Times New Roman"/>
    </font>
    <font>
      <b/>
      <sz val="11.0"/>
      <color rgb="FFFFFFFF"/>
      <name val="Arial"/>
    </font>
    <font>
      <b/>
      <sz val="9.0"/>
      <color rgb="FF262626"/>
      <name val="Arial"/>
    </font>
    <font>
      <b/>
      <sz val="18.0"/>
      <color rgb="FF2E6E5E"/>
      <name val="Arial"/>
    </font>
  </fonts>
  <fills count="11">
    <fill>
      <patternFill patternType="none"/>
    </fill>
    <fill>
      <patternFill patternType="lightGray"/>
    </fill>
    <fill>
      <patternFill patternType="solid">
        <fgColor rgb="FF2E6E5E"/>
        <bgColor rgb="FF2E6E5E"/>
      </patternFill>
    </fill>
    <fill>
      <patternFill patternType="solid">
        <fgColor rgb="FFFFFFFF"/>
        <bgColor rgb="FFFFFFFF"/>
      </patternFill>
    </fill>
    <fill>
      <patternFill patternType="solid">
        <fgColor rgb="FF93C47D"/>
        <bgColor rgb="FF93C47D"/>
      </patternFill>
    </fill>
    <fill>
      <patternFill patternType="solid">
        <fgColor rgb="FFF4F4F4"/>
        <bgColor rgb="FFF4F4F4"/>
      </patternFill>
    </fill>
    <fill>
      <patternFill patternType="solid">
        <fgColor rgb="FFC6EFCE"/>
        <bgColor rgb="FFC6EFCE"/>
      </patternFill>
    </fill>
    <fill>
      <patternFill patternType="solid">
        <fgColor rgb="FFF8CBCB"/>
        <bgColor rgb="FFF8CBCB"/>
      </patternFill>
    </fill>
    <fill>
      <patternFill patternType="solid">
        <fgColor rgb="FFFCE8B2"/>
        <bgColor rgb="FFFCE8B2"/>
      </patternFill>
    </fill>
    <fill>
      <patternFill patternType="solid">
        <fgColor rgb="FFF6B26B"/>
        <bgColor rgb="FFF6B26B"/>
      </patternFill>
    </fill>
    <fill>
      <patternFill patternType="solid">
        <fgColor rgb="FFE06666"/>
        <bgColor rgb="FFE06666"/>
      </patternFill>
    </fill>
  </fills>
  <borders count="7">
    <border/>
    <border>
      <left style="thin">
        <color rgb="FFBFBFBF"/>
      </left>
      <right style="thin">
        <color rgb="FFBFBFBF"/>
      </right>
      <top style="thin">
        <color rgb="FFBFBFBF"/>
      </top>
      <bottom style="thin">
        <color rgb="FFBFBFBF"/>
      </bottom>
    </border>
    <border>
      <left/>
      <top/>
      <bottom/>
    </border>
    <border>
      <right/>
      <top/>
      <bottom/>
    </border>
    <border>
      <top/>
      <bottom/>
    </border>
    <border>
      <left style="thin">
        <color rgb="FFBFBFBF"/>
      </lef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vertical="center" wrapText="0"/>
    </xf>
    <xf borderId="0" fillId="0" fontId="3" numFmtId="0" xfId="0" applyAlignment="1" applyFont="1">
      <alignment horizontal="center" readingOrder="0" shrinkToFit="0" vertical="bottom" wrapText="0"/>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5" numFmtId="0" xfId="0" applyAlignment="1" applyFont="1">
      <alignment horizontal="center" readingOrder="0" shrinkToFit="0" vertical="bottom" wrapText="0"/>
    </xf>
    <xf borderId="1" fillId="2" fontId="6" numFmtId="0" xfId="0" applyAlignment="1" applyBorder="1" applyFill="1" applyFont="1">
      <alignment horizontal="center" shrinkToFit="0" vertical="center" wrapText="1"/>
    </xf>
    <xf borderId="0" fillId="0" fontId="1" numFmtId="0" xfId="0" applyAlignment="1" applyFont="1">
      <alignment horizontal="center" readingOrder="0"/>
    </xf>
    <xf borderId="0" fillId="3" fontId="7" numFmtId="0" xfId="0" applyAlignment="1" applyFill="1" applyFont="1">
      <alignment shrinkToFit="0" vertical="center" wrapText="0"/>
    </xf>
    <xf borderId="1" fillId="0" fontId="8" numFmtId="0" xfId="0" applyAlignment="1" applyBorder="1" applyFont="1">
      <alignment horizontal="center" shrinkToFit="0" vertical="top" wrapText="1"/>
    </xf>
    <xf borderId="1" fillId="0" fontId="9" numFmtId="0" xfId="0" applyAlignment="1" applyBorder="1" applyFont="1">
      <alignment horizontal="left" shrinkToFit="0" vertical="top" wrapText="1"/>
    </xf>
    <xf borderId="2" fillId="4" fontId="7" numFmtId="0" xfId="0" applyAlignment="1" applyBorder="1" applyFill="1" applyFont="1">
      <alignment shrinkToFit="0" vertical="center" wrapText="0"/>
    </xf>
    <xf borderId="1" fillId="0" fontId="9" numFmtId="0" xfId="0" applyAlignment="1" applyBorder="1" applyFont="1">
      <alignment horizontal="center" shrinkToFit="0" vertical="top" wrapText="1"/>
    </xf>
    <xf borderId="3" fillId="0" fontId="10" numFmtId="0" xfId="0" applyBorder="1" applyFont="1"/>
    <xf borderId="1" fillId="5" fontId="8" numFmtId="0" xfId="0" applyAlignment="1" applyBorder="1" applyFill="1" applyFont="1">
      <alignment horizontal="center" shrinkToFit="0" vertical="top" wrapText="1"/>
    </xf>
    <xf borderId="1" fillId="5" fontId="9" numFmtId="0" xfId="0" applyAlignment="1" applyBorder="1" applyFill="1" applyFont="1">
      <alignment horizontal="left" shrinkToFit="0" vertical="top" wrapText="1"/>
    </xf>
    <xf borderId="0" fillId="0" fontId="11" numFmtId="0" xfId="0" applyAlignment="1" applyFont="1">
      <alignment shrinkToFit="0" vertical="top" wrapText="1"/>
    </xf>
    <xf borderId="1" fillId="5" fontId="9" numFmtId="0" xfId="0" applyAlignment="1" applyBorder="1" applyFill="1" applyFont="1">
      <alignment horizontal="center" shrinkToFit="0" vertical="top" wrapText="1"/>
    </xf>
    <xf borderId="0" fillId="0" fontId="12" numFmtId="0" xfId="0" applyAlignment="1" applyFont="1">
      <alignment readingOrder="0" shrinkToFit="0" vertical="top" wrapText="1"/>
    </xf>
    <xf borderId="0" fillId="0" fontId="12" numFmtId="0" xfId="0" applyAlignment="1" applyFont="1">
      <alignment shrinkToFit="0" vertical="top" wrapText="1"/>
    </xf>
    <xf borderId="1" fillId="6" fontId="13" numFmtId="0" xfId="0" applyAlignment="1" applyBorder="1" applyFill="1" applyFont="1">
      <alignment horizontal="center" shrinkToFit="0" vertical="center" wrapText="0"/>
    </xf>
    <xf borderId="0" fillId="0" fontId="12" numFmtId="0" xfId="0" applyAlignment="1" applyFont="1">
      <alignment readingOrder="0" shrinkToFit="0" vertical="center" wrapText="1"/>
    </xf>
    <xf borderId="1" fillId="7" fontId="14" numFmtId="0" xfId="0" applyAlignment="1" applyBorder="1" applyFill="1" applyFont="1">
      <alignment horizontal="center" shrinkToFit="0" vertical="center" wrapText="0"/>
    </xf>
    <xf borderId="0" fillId="0" fontId="12" numFmtId="0" xfId="0" applyAlignment="1" applyFont="1">
      <alignment shrinkToFit="0" vertical="center" wrapText="1"/>
    </xf>
    <xf borderId="1" fillId="8" fontId="15" numFmtId="0" xfId="0" applyAlignment="1" applyBorder="1" applyFill="1" applyFont="1">
      <alignment horizontal="center" shrinkToFit="0" vertical="center" wrapText="0"/>
    </xf>
    <xf borderId="2" fillId="4" fontId="16" numFmtId="0" xfId="0" applyAlignment="1" applyBorder="1" applyFill="1" applyFont="1">
      <alignment shrinkToFit="0" vertical="center" wrapText="0"/>
    </xf>
    <xf borderId="4" fillId="0" fontId="10" numFmtId="0" xfId="0" applyBorder="1" applyFont="1"/>
    <xf borderId="5" fillId="0" fontId="17" numFmtId="0" xfId="0" applyAlignment="1" applyBorder="1" applyFont="1">
      <alignment horizontal="center" shrinkToFit="0" vertical="bottom" wrapText="0"/>
    </xf>
    <xf borderId="6" fillId="0" fontId="10" numFmtId="0" xfId="0" applyBorder="1" applyFont="1"/>
    <xf borderId="5" fillId="0" fontId="18" numFmtId="0" xfId="0" applyAlignment="1" applyBorder="1" applyFont="1">
      <alignment horizontal="center" shrinkToFit="0" vertical="bottom" wrapText="0"/>
    </xf>
    <xf borderId="1" fillId="9" fontId="8" numFmtId="0" xfId="0" applyAlignment="1" applyBorder="1" applyFill="1" applyFont="1">
      <alignment horizontal="center" shrinkToFit="0" vertical="top" wrapText="1"/>
    </xf>
    <xf borderId="1" fillId="10" fontId="8" numFmtId="0" xfId="0" applyAlignment="1" applyBorder="1" applyFill="1" applyFont="1">
      <alignment horizontal="center" shrinkToFit="0" vertical="top" wrapText="1"/>
    </xf>
    <xf borderId="0" fillId="0" fontId="8" numFmtId="0" xfId="0" applyAlignment="1" applyFont="1">
      <alignment shrinkToFit="0" vertical="bottom" wrapText="0"/>
    </xf>
  </cellXfs>
  <cellStyles count="1">
    <cellStyle xfId="0" name="Normal" builtinId="0"/>
  </cellStyles>
  <dxfs count="3">
    <dxf>
      <font>
        <b/>
        <color rgb="FF1E6B2E"/>
        <name val="Arial"/>
      </font>
      <fill>
        <patternFill patternType="solid">
          <fgColor rgb="FFC6EFCE"/>
          <bgColor rgb="FFC6EFCE"/>
        </patternFill>
      </fill>
      <border/>
    </dxf>
    <dxf>
      <font>
        <b/>
        <color rgb="FF9C1F1F"/>
        <name val="Arial"/>
      </font>
      <fill>
        <patternFill patternType="solid">
          <fgColor rgb="FFF8CBCB"/>
          <bgColor rgb="FFF8CBCB"/>
        </patternFill>
      </fill>
      <border/>
    </dxf>
    <dxf>
      <font>
        <b/>
        <color rgb="FF8A6100"/>
        <name val="Arial"/>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Control Test Results</a:t>
            </a:r>
          </a:p>
        </c:rich>
      </c:tx>
      <c:overlay val="0"/>
    </c:title>
    <c:plotArea>
      <c:layout/>
      <c:barChart>
        <c:barDir val="col"/>
        <c:ser>
          <c:idx val="0"/>
          <c:order val="0"/>
          <c:tx>
            <c:v>Count</c:v>
          </c:tx>
          <c:spPr>
            <a:solidFill>
              <a:srgbClr val="2E6E5E"/>
            </a:solidFill>
            <a:ln cmpd="sng">
              <a:noFill/>
            </a:ln>
          </c:spPr>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'Findings Summary'!$A$9:$A$11</c:f>
            </c:strRef>
          </c:cat>
          <c:val>
            <c:numRef>
              <c:f>'Findings Summary'!$B$9:$B$11</c:f>
              <c:numCache/>
            </c:numRef>
          </c:val>
        </c:ser>
        <c:axId val="1861837136"/>
        <c:axId val="533643204"/>
      </c:barChart>
      <c:catAx>
        <c:axId val="18618371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533643204"/>
      </c:catAx>
      <c:valAx>
        <c:axId val="53364320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Number of Controls</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1861837136"/>
      </c:valAx>
    </c:plotArea>
    <c:plotVisOnly val="1"/>
  </c:chart>
  <c:spPr>
    <a:solidFill>
      <a:srgbClr val="FFFFFF"/>
    </a:solidFill>
  </c:spPr>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0</xdr:row>
      <xdr:rowOff>276225</xdr:rowOff>
    </xdr:from>
    <xdr:ext cx="3086100" cy="24479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238125</xdr:colOff>
      <xdr:row>6</xdr:row>
      <xdr:rowOff>47625</xdr:rowOff>
    </xdr:from>
    <xdr:ext cx="5495925" cy="10763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4.0"/>
    <col customWidth="1" min="3" max="3" width="150.71"/>
    <col customWidth="1" min="4" max="2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3" t="s">
        <v>3</v>
      </c>
      <c r="D2" s="1"/>
      <c r="E2" s="1"/>
      <c r="F2" s="1"/>
      <c r="G2" s="1"/>
      <c r="H2" s="1"/>
      <c r="I2" s="1"/>
      <c r="J2" s="1"/>
      <c r="K2" s="1"/>
      <c r="L2" s="1"/>
      <c r="M2" s="1"/>
      <c r="N2" s="1"/>
      <c r="O2" s="1"/>
      <c r="P2" s="1"/>
      <c r="Q2" s="1"/>
      <c r="R2" s="1"/>
      <c r="S2" s="1"/>
      <c r="T2" s="1"/>
      <c r="U2" s="1"/>
      <c r="V2" s="1"/>
      <c r="W2" s="1"/>
      <c r="X2" s="1"/>
      <c r="Y2" s="1"/>
      <c r="Z2" s="1"/>
    </row>
    <row r="3">
      <c r="A3" s="1"/>
      <c r="B3" s="6" t="s">
        <v>7</v>
      </c>
      <c r="D3" s="1"/>
      <c r="E3" s="1"/>
      <c r="F3" s="1"/>
      <c r="G3" s="1"/>
      <c r="H3" s="1"/>
      <c r="I3" s="1"/>
      <c r="J3" s="1"/>
      <c r="K3" s="1"/>
      <c r="L3" s="1"/>
      <c r="M3" s="1"/>
      <c r="N3" s="1"/>
      <c r="O3" s="1"/>
      <c r="P3" s="1"/>
      <c r="Q3" s="1"/>
      <c r="R3" s="1"/>
      <c r="S3" s="1"/>
      <c r="T3" s="1"/>
      <c r="U3" s="1"/>
      <c r="V3" s="1"/>
      <c r="W3" s="1"/>
      <c r="X3" s="1"/>
      <c r="Y3" s="1"/>
      <c r="Z3" s="1"/>
    </row>
    <row r="4">
      <c r="A4" s="1"/>
      <c r="B4" s="8" t="s">
        <v>9</v>
      </c>
      <c r="D4" s="1"/>
      <c r="E4" s="1"/>
      <c r="F4" s="1"/>
      <c r="G4" s="1"/>
      <c r="H4" s="1"/>
      <c r="I4" s="1"/>
      <c r="J4" s="1"/>
      <c r="K4" s="1"/>
      <c r="L4" s="1"/>
      <c r="M4" s="1"/>
      <c r="N4" s="1"/>
      <c r="O4" s="1"/>
      <c r="P4" s="1"/>
      <c r="Q4" s="1"/>
      <c r="R4" s="1"/>
      <c r="S4" s="1"/>
      <c r="T4" s="1"/>
      <c r="U4" s="1"/>
      <c r="V4" s="1"/>
      <c r="W4" s="1"/>
      <c r="X4" s="1"/>
      <c r="Y4" s="1"/>
      <c r="Z4" s="1"/>
    </row>
    <row r="5">
      <c r="A5" s="1"/>
      <c r="B5" s="9"/>
      <c r="C5" s="9"/>
      <c r="D5" s="1"/>
      <c r="E5" s="1"/>
      <c r="F5" s="1"/>
      <c r="G5" s="1"/>
      <c r="H5" s="1"/>
      <c r="I5" s="1"/>
      <c r="J5" s="1"/>
      <c r="K5" s="1"/>
      <c r="L5" s="1"/>
      <c r="M5" s="1"/>
      <c r="N5" s="1"/>
      <c r="O5" s="1"/>
      <c r="P5" s="1"/>
      <c r="Q5" s="1"/>
      <c r="R5" s="1"/>
      <c r="S5" s="1"/>
      <c r="T5" s="1"/>
      <c r="U5" s="1"/>
      <c r="V5" s="1"/>
      <c r="W5" s="1"/>
      <c r="X5" s="1"/>
      <c r="Y5" s="1"/>
      <c r="Z5" s="1"/>
    </row>
    <row r="6">
      <c r="A6" s="1"/>
      <c r="B6" s="12" t="s">
        <v>22</v>
      </c>
      <c r="C6" s="14"/>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7" t="s">
        <v>46</v>
      </c>
      <c r="C8" s="19" t="s">
        <v>48</v>
      </c>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7" t="s">
        <v>70</v>
      </c>
      <c r="C10" s="19" t="s">
        <v>71</v>
      </c>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2" t="s">
        <v>86</v>
      </c>
      <c r="C13" s="14"/>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7" t="s">
        <v>96</v>
      </c>
      <c r="C15" s="19" t="s">
        <v>98</v>
      </c>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7" t="s">
        <v>103</v>
      </c>
      <c r="C17" s="20" t="s">
        <v>104</v>
      </c>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7" t="s">
        <v>105</v>
      </c>
      <c r="C19" s="20" t="s">
        <v>106</v>
      </c>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2" t="s">
        <v>107</v>
      </c>
      <c r="C22" s="14"/>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7" t="s">
        <v>108</v>
      </c>
      <c r="C24" s="20" t="s">
        <v>109</v>
      </c>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7" t="s">
        <v>110</v>
      </c>
      <c r="C25" s="19" t="s">
        <v>111</v>
      </c>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7" t="s">
        <v>112</v>
      </c>
      <c r="C26" s="20" t="s">
        <v>113</v>
      </c>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7" t="s">
        <v>114</v>
      </c>
      <c r="C27" s="19" t="s">
        <v>115</v>
      </c>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2" t="s">
        <v>116</v>
      </c>
      <c r="C30" s="14"/>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7" t="s">
        <v>8</v>
      </c>
      <c r="C32" s="20" t="s">
        <v>117</v>
      </c>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7" t="s">
        <v>10</v>
      </c>
      <c r="C33" s="20" t="s">
        <v>118</v>
      </c>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7" t="s">
        <v>119</v>
      </c>
      <c r="C34" s="19" t="s">
        <v>120</v>
      </c>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7" t="s">
        <v>12</v>
      </c>
      <c r="C35" s="20" t="s">
        <v>121</v>
      </c>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7" t="s">
        <v>14</v>
      </c>
      <c r="C36" s="20" t="s">
        <v>122</v>
      </c>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7" t="s">
        <v>15</v>
      </c>
      <c r="C37" s="19" t="s">
        <v>123</v>
      </c>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7" t="s">
        <v>16</v>
      </c>
      <c r="C38" s="20" t="s">
        <v>124</v>
      </c>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7" t="s">
        <v>17</v>
      </c>
      <c r="C39" s="19" t="s">
        <v>125</v>
      </c>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2" t="s">
        <v>126</v>
      </c>
      <c r="C42" s="14"/>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21" t="s">
        <v>34</v>
      </c>
      <c r="C44" s="22" t="s">
        <v>127</v>
      </c>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23" t="s">
        <v>54</v>
      </c>
      <c r="C45" s="24" t="s">
        <v>128</v>
      </c>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25" t="s">
        <v>129</v>
      </c>
      <c r="C46" s="24" t="s">
        <v>130</v>
      </c>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mergeCells count="8">
    <mergeCell ref="B3:C3"/>
    <mergeCell ref="B4:C4"/>
    <mergeCell ref="B2:C2"/>
    <mergeCell ref="B6:C6"/>
    <mergeCell ref="B13:C13"/>
    <mergeCell ref="B22:C22"/>
    <mergeCell ref="B30:C30"/>
    <mergeCell ref="B42:C4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1.0"/>
    <col customWidth="1" min="2" max="2" width="30.0"/>
    <col customWidth="1" min="3" max="3" width="34.0"/>
    <col customWidth="1" min="4" max="5" width="14.0"/>
    <col customWidth="1" min="6" max="6" width="40.0"/>
    <col customWidth="1" min="7" max="7" width="14.0"/>
    <col customWidth="1" min="8" max="8" width="28.0"/>
    <col customWidth="1" min="9" max="9" width="12.0"/>
    <col customWidth="1" min="10" max="10" width="38.0"/>
    <col customWidth="1" min="11" max="26" width="8.71"/>
  </cols>
  <sheetData>
    <row r="1" ht="24.0" customHeight="1">
      <c r="A1" s="2" t="s">
        <v>2</v>
      </c>
    </row>
    <row r="2" ht="30.0" customHeight="1">
      <c r="A2" s="4" t="s">
        <v>4</v>
      </c>
    </row>
    <row r="4" ht="33.75" customHeight="1">
      <c r="A4" s="7" t="s">
        <v>8</v>
      </c>
      <c r="B4" s="7" t="s">
        <v>10</v>
      </c>
      <c r="C4" s="7" t="s">
        <v>11</v>
      </c>
      <c r="D4" s="7" t="s">
        <v>12</v>
      </c>
      <c r="E4" s="7" t="s">
        <v>13</v>
      </c>
      <c r="F4" s="7" t="s">
        <v>14</v>
      </c>
      <c r="G4" s="7" t="s">
        <v>15</v>
      </c>
      <c r="H4" s="7" t="s">
        <v>16</v>
      </c>
      <c r="I4" s="7" t="s">
        <v>17</v>
      </c>
      <c r="J4" s="7" t="s">
        <v>18</v>
      </c>
    </row>
    <row r="5" ht="60.0" customHeight="1">
      <c r="A5" s="10" t="s">
        <v>19</v>
      </c>
      <c r="B5" s="11" t="s">
        <v>20</v>
      </c>
      <c r="C5" s="11" t="s">
        <v>21</v>
      </c>
      <c r="D5" s="13" t="s">
        <v>27</v>
      </c>
      <c r="E5" s="13" t="s">
        <v>30</v>
      </c>
      <c r="F5" s="11" t="s">
        <v>31</v>
      </c>
      <c r="G5" s="13" t="s">
        <v>32</v>
      </c>
      <c r="H5" s="11" t="s">
        <v>33</v>
      </c>
      <c r="I5" s="13" t="s">
        <v>34</v>
      </c>
      <c r="J5" s="11" t="s">
        <v>35</v>
      </c>
    </row>
    <row r="6" ht="60.0" customHeight="1">
      <c r="A6" s="15" t="s">
        <v>36</v>
      </c>
      <c r="B6" s="16" t="s">
        <v>42</v>
      </c>
      <c r="C6" s="16" t="s">
        <v>44</v>
      </c>
      <c r="D6" s="18" t="s">
        <v>27</v>
      </c>
      <c r="E6" s="18" t="s">
        <v>30</v>
      </c>
      <c r="F6" s="16" t="s">
        <v>51</v>
      </c>
      <c r="G6" s="18" t="s">
        <v>52</v>
      </c>
      <c r="H6" s="16" t="s">
        <v>53</v>
      </c>
      <c r="I6" s="18" t="s">
        <v>54</v>
      </c>
      <c r="J6" s="16" t="s">
        <v>57</v>
      </c>
    </row>
    <row r="7" ht="60.0" customHeight="1">
      <c r="A7" s="10" t="s">
        <v>58</v>
      </c>
      <c r="B7" s="11" t="s">
        <v>60</v>
      </c>
      <c r="C7" s="11" t="s">
        <v>61</v>
      </c>
      <c r="D7" s="13" t="s">
        <v>63</v>
      </c>
      <c r="E7" s="13" t="s">
        <v>64</v>
      </c>
      <c r="F7" s="11" t="s">
        <v>65</v>
      </c>
      <c r="G7" s="13" t="s">
        <v>67</v>
      </c>
      <c r="H7" s="11" t="s">
        <v>68</v>
      </c>
      <c r="I7" s="13" t="s">
        <v>34</v>
      </c>
      <c r="J7" s="11" t="s">
        <v>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7"/>
  <mergeCells count="2">
    <mergeCell ref="A1:J1"/>
    <mergeCell ref="A2:J2"/>
  </mergeCells>
  <conditionalFormatting sqref="I5:I7">
    <cfRule type="expression" dxfId="0" priority="1">
      <formula>I5="Pass"</formula>
    </cfRule>
  </conditionalFormatting>
  <conditionalFormatting sqref="I5:I7">
    <cfRule type="expression" dxfId="1" priority="2">
      <formula>I5="Fail"</formula>
    </cfRule>
  </conditionalFormatting>
  <conditionalFormatting sqref="I5:I7">
    <cfRule type="expression" dxfId="2" priority="3">
      <formula>I5="Exception"</formula>
    </cfRule>
  </conditionalFormatting>
  <dataValidations>
    <dataValidation type="list" allowBlank="1" sqref="I5:I7">
      <formula1>"Pass,Fail,Exception"</formula1>
    </dataValidation>
    <dataValidation type="list" allowBlank="1" sqref="D5:D7">
      <formula1>"Preventive,Detective"</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1.0"/>
    <col customWidth="1" min="2" max="2" width="30.0"/>
    <col customWidth="1" min="3" max="3" width="34.0"/>
    <col customWidth="1" min="4" max="4" width="13.86"/>
    <col customWidth="1" min="5" max="5" width="13.43"/>
    <col customWidth="1" min="6" max="6" width="40.0"/>
    <col customWidth="1" min="7" max="7" width="14.0"/>
    <col customWidth="1" min="8" max="8" width="28.0"/>
    <col customWidth="1" min="9" max="9" width="12.0"/>
    <col customWidth="1" min="10" max="10" width="38.0"/>
    <col customWidth="1" min="11" max="26" width="8.71"/>
  </cols>
  <sheetData>
    <row r="1" ht="24.0" customHeight="1">
      <c r="A1" s="2" t="s">
        <v>0</v>
      </c>
    </row>
    <row r="2" ht="30.0" customHeight="1">
      <c r="A2" s="5" t="s">
        <v>5</v>
      </c>
    </row>
    <row r="4" ht="33.75" customHeight="1">
      <c r="A4" s="7" t="s">
        <v>8</v>
      </c>
      <c r="B4" s="7" t="s">
        <v>10</v>
      </c>
      <c r="C4" s="7" t="s">
        <v>11</v>
      </c>
      <c r="D4" s="7" t="s">
        <v>12</v>
      </c>
      <c r="E4" s="7" t="s">
        <v>13</v>
      </c>
      <c r="F4" s="7" t="s">
        <v>14</v>
      </c>
      <c r="G4" s="7" t="s">
        <v>15</v>
      </c>
      <c r="H4" s="7" t="s">
        <v>16</v>
      </c>
      <c r="I4" s="7" t="s">
        <v>17</v>
      </c>
      <c r="J4" s="7" t="s">
        <v>18</v>
      </c>
    </row>
    <row r="5" ht="60.0" customHeight="1">
      <c r="A5" s="10" t="s">
        <v>23</v>
      </c>
      <c r="B5" s="11" t="s">
        <v>25</v>
      </c>
      <c r="C5" s="11" t="s">
        <v>26</v>
      </c>
      <c r="D5" s="13" t="s">
        <v>27</v>
      </c>
      <c r="E5" s="13" t="s">
        <v>30</v>
      </c>
      <c r="F5" s="11" t="s">
        <v>37</v>
      </c>
      <c r="G5" s="13" t="s">
        <v>38</v>
      </c>
      <c r="H5" s="11" t="s">
        <v>40</v>
      </c>
      <c r="I5" s="13" t="s">
        <v>34</v>
      </c>
      <c r="J5" s="11" t="s">
        <v>47</v>
      </c>
    </row>
    <row r="6" ht="60.0" customHeight="1">
      <c r="A6" s="15" t="s">
        <v>50</v>
      </c>
      <c r="B6" s="16" t="s">
        <v>55</v>
      </c>
      <c r="C6" s="16" t="s">
        <v>59</v>
      </c>
      <c r="D6" s="18" t="s">
        <v>27</v>
      </c>
      <c r="E6" s="18" t="s">
        <v>30</v>
      </c>
      <c r="F6" s="16" t="s">
        <v>72</v>
      </c>
      <c r="G6" s="18" t="s">
        <v>38</v>
      </c>
      <c r="H6" s="16" t="s">
        <v>74</v>
      </c>
      <c r="I6" s="18" t="s">
        <v>54</v>
      </c>
      <c r="J6" s="16" t="s">
        <v>77</v>
      </c>
    </row>
    <row r="7" ht="60.0" customHeight="1">
      <c r="A7" s="10" t="s">
        <v>78</v>
      </c>
      <c r="B7" s="11" t="s">
        <v>80</v>
      </c>
      <c r="C7" s="11" t="s">
        <v>81</v>
      </c>
      <c r="D7" s="13" t="s">
        <v>63</v>
      </c>
      <c r="E7" s="13" t="s">
        <v>30</v>
      </c>
      <c r="F7" s="11" t="s">
        <v>85</v>
      </c>
      <c r="G7" s="13" t="s">
        <v>87</v>
      </c>
      <c r="H7" s="11" t="s">
        <v>88</v>
      </c>
      <c r="I7" s="13" t="s">
        <v>34</v>
      </c>
      <c r="J7" s="11" t="s">
        <v>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7"/>
  <mergeCells count="2">
    <mergeCell ref="A1:J1"/>
    <mergeCell ref="A2:J2"/>
  </mergeCells>
  <conditionalFormatting sqref="I5:I7">
    <cfRule type="expression" dxfId="0" priority="1">
      <formula>I5="Pass"</formula>
    </cfRule>
  </conditionalFormatting>
  <conditionalFormatting sqref="I5:I7">
    <cfRule type="expression" dxfId="1" priority="2">
      <formula>I5="Fail"</formula>
    </cfRule>
  </conditionalFormatting>
  <conditionalFormatting sqref="I5:I7">
    <cfRule type="expression" dxfId="2" priority="3">
      <formula>I5="Exception"</formula>
    </cfRule>
  </conditionalFormatting>
  <dataValidations>
    <dataValidation type="list" allowBlank="1" sqref="I5:I7">
      <formula1>"Pass,Fail,Exception"</formula1>
    </dataValidation>
    <dataValidation type="list" allowBlank="1" sqref="D5:D7">
      <formula1>"Preventive,Detective"</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1.0"/>
    <col customWidth="1" min="2" max="2" width="30.0"/>
    <col customWidth="1" min="3" max="3" width="34.0"/>
    <col customWidth="1" min="4" max="4" width="13.57"/>
    <col customWidth="1" min="5" max="5" width="14.71"/>
    <col customWidth="1" min="6" max="6" width="40.0"/>
    <col customWidth="1" min="7" max="7" width="14.0"/>
    <col customWidth="1" min="8" max="8" width="28.0"/>
    <col customWidth="1" min="9" max="9" width="12.0"/>
    <col customWidth="1" min="10" max="10" width="38.0"/>
    <col customWidth="1" min="11" max="26" width="8.71"/>
  </cols>
  <sheetData>
    <row r="1" ht="24.0" customHeight="1">
      <c r="A1" s="2" t="s">
        <v>1</v>
      </c>
    </row>
    <row r="2" ht="30.0" customHeight="1">
      <c r="A2" s="5" t="s">
        <v>6</v>
      </c>
    </row>
    <row r="4" ht="33.75" customHeight="1">
      <c r="A4" s="7" t="s">
        <v>8</v>
      </c>
      <c r="B4" s="7" t="s">
        <v>10</v>
      </c>
      <c r="C4" s="7" t="s">
        <v>11</v>
      </c>
      <c r="D4" s="7" t="s">
        <v>12</v>
      </c>
      <c r="E4" s="7" t="s">
        <v>13</v>
      </c>
      <c r="F4" s="7" t="s">
        <v>14</v>
      </c>
      <c r="G4" s="7" t="s">
        <v>15</v>
      </c>
      <c r="H4" s="7" t="s">
        <v>16</v>
      </c>
      <c r="I4" s="7" t="s">
        <v>17</v>
      </c>
      <c r="J4" s="7" t="s">
        <v>18</v>
      </c>
    </row>
    <row r="5" ht="60.0" customHeight="1">
      <c r="A5" s="10" t="s">
        <v>24</v>
      </c>
      <c r="B5" s="11" t="s">
        <v>28</v>
      </c>
      <c r="C5" s="11" t="s">
        <v>29</v>
      </c>
      <c r="D5" s="13" t="s">
        <v>27</v>
      </c>
      <c r="E5" s="13" t="s">
        <v>39</v>
      </c>
      <c r="F5" s="11" t="s">
        <v>41</v>
      </c>
      <c r="G5" s="13" t="s">
        <v>43</v>
      </c>
      <c r="H5" s="11" t="s">
        <v>45</v>
      </c>
      <c r="I5" s="13" t="s">
        <v>34</v>
      </c>
      <c r="J5" s="11" t="s">
        <v>49</v>
      </c>
    </row>
    <row r="6" ht="60.0" customHeight="1">
      <c r="A6" s="15" t="s">
        <v>56</v>
      </c>
      <c r="B6" s="16" t="s">
        <v>62</v>
      </c>
      <c r="C6" s="16" t="s">
        <v>66</v>
      </c>
      <c r="D6" s="18" t="s">
        <v>63</v>
      </c>
      <c r="E6" s="18" t="s">
        <v>64</v>
      </c>
      <c r="F6" s="16" t="s">
        <v>73</v>
      </c>
      <c r="G6" s="18" t="s">
        <v>75</v>
      </c>
      <c r="H6" s="16" t="s">
        <v>76</v>
      </c>
      <c r="I6" s="18" t="s">
        <v>34</v>
      </c>
      <c r="J6" s="16" t="s">
        <v>79</v>
      </c>
    </row>
    <row r="7" ht="60.0" customHeight="1">
      <c r="A7" s="10" t="s">
        <v>82</v>
      </c>
      <c r="B7" s="11" t="s">
        <v>83</v>
      </c>
      <c r="C7" s="11" t="s">
        <v>84</v>
      </c>
      <c r="D7" s="13" t="s">
        <v>63</v>
      </c>
      <c r="E7" s="13" t="s">
        <v>39</v>
      </c>
      <c r="F7" s="11" t="s">
        <v>89</v>
      </c>
      <c r="G7" s="13" t="s">
        <v>90</v>
      </c>
      <c r="H7" s="11" t="s">
        <v>92</v>
      </c>
      <c r="I7" s="13" t="s">
        <v>34</v>
      </c>
      <c r="J7" s="11" t="s">
        <v>93</v>
      </c>
    </row>
    <row r="8" ht="60.0" customHeight="1">
      <c r="A8" s="15" t="s">
        <v>94</v>
      </c>
      <c r="B8" s="16" t="s">
        <v>95</v>
      </c>
      <c r="C8" s="16" t="s">
        <v>97</v>
      </c>
      <c r="D8" s="18" t="s">
        <v>27</v>
      </c>
      <c r="E8" s="18" t="s">
        <v>30</v>
      </c>
      <c r="F8" s="16" t="s">
        <v>99</v>
      </c>
      <c r="G8" s="18" t="s">
        <v>100</v>
      </c>
      <c r="H8" s="16" t="s">
        <v>101</v>
      </c>
      <c r="I8" s="18" t="s">
        <v>34</v>
      </c>
      <c r="J8" s="16" t="s">
        <v>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8"/>
  <mergeCells count="2">
    <mergeCell ref="A1:J1"/>
    <mergeCell ref="A2:J2"/>
  </mergeCells>
  <conditionalFormatting sqref="I5:I8">
    <cfRule type="expression" dxfId="0" priority="1">
      <formula>I5="Pass"</formula>
    </cfRule>
  </conditionalFormatting>
  <conditionalFormatting sqref="I5:I8">
    <cfRule type="expression" dxfId="1" priority="2">
      <formula>I5="Fail"</formula>
    </cfRule>
  </conditionalFormatting>
  <conditionalFormatting sqref="I5:I8">
    <cfRule type="expression" dxfId="2" priority="3">
      <formula>I5="Exception"</formula>
    </cfRule>
  </conditionalFormatting>
  <dataValidations>
    <dataValidation type="list" allowBlank="1" sqref="I5:I8">
      <formula1>"Pass,Fail,Exception"</formula1>
    </dataValidation>
    <dataValidation type="list" allowBlank="1" sqref="D5:D8">
      <formula1>"Preventive,Detective"</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
    <col customWidth="1" min="2" max="2" width="14.0"/>
    <col customWidth="1" min="3" max="3" width="11.0"/>
    <col customWidth="1" min="4" max="4" width="40.0"/>
    <col customWidth="1" min="5" max="5" width="34.0"/>
    <col customWidth="1" min="6" max="6" width="30.0"/>
    <col customWidth="1" min="7" max="7" width="16.0"/>
    <col customWidth="1" min="8" max="8" width="12.0"/>
    <col customWidth="1" min="9" max="26" width="8.71"/>
  </cols>
  <sheetData>
    <row r="1" ht="24.0" customHeight="1">
      <c r="A1" s="2" t="s">
        <v>131</v>
      </c>
    </row>
    <row r="2" ht="30.0" customHeight="1">
      <c r="A2" s="5" t="s">
        <v>132</v>
      </c>
    </row>
    <row r="4" ht="19.5" customHeight="1">
      <c r="A4" s="26" t="s">
        <v>133</v>
      </c>
      <c r="B4" s="27"/>
      <c r="C4" s="27"/>
      <c r="D4" s="27"/>
      <c r="E4" s="27"/>
      <c r="F4" s="27"/>
      <c r="G4" s="27"/>
      <c r="H4" s="14"/>
    </row>
    <row r="5" ht="18.0" customHeight="1">
      <c r="A5" s="28" t="s">
        <v>134</v>
      </c>
      <c r="B5" s="29"/>
      <c r="C5" s="28" t="s">
        <v>135</v>
      </c>
      <c r="D5" s="29"/>
      <c r="E5" s="28" t="s">
        <v>136</v>
      </c>
      <c r="F5" s="29"/>
      <c r="G5" s="28" t="s">
        <v>137</v>
      </c>
      <c r="H5" s="29"/>
    </row>
    <row r="6" ht="30.0" customHeight="1">
      <c r="A6" s="30">
        <f>COUNTA('Access Management'!A5:A7)+COUNTA('Change Management'!A5:A7)+COUNTA('Data Operations'!A5:A8)</f>
        <v>10</v>
      </c>
      <c r="B6" s="29"/>
      <c r="C6" s="30">
        <f>COUNTIF('Access Management'!I5:I7,"Pass")+COUNTIF('Change Management'!I5:I7,"Pass")+COUNTIF('Data Operations'!I5:I8,"Pass")</f>
        <v>8</v>
      </c>
      <c r="D6" s="29"/>
      <c r="E6" s="30">
        <f>COUNTIF('Access Management'!I5:I7,"Fail")+COUNTIF('Change Management'!I5:I7,"Fail")+COUNTIF('Data Operations'!I5:I8,"Fail")</f>
        <v>2</v>
      </c>
      <c r="F6" s="29"/>
      <c r="G6" s="30">
        <f>COUNTIF('Access Management'!I5:I7,"Exception")+COUNTIF('Change Management'!I5:I7,"Exception")+COUNTIF('Data Operations'!I5:I8,"Exception")</f>
        <v>0</v>
      </c>
      <c r="H6" s="29"/>
    </row>
    <row r="8">
      <c r="A8" s="7" t="s">
        <v>138</v>
      </c>
      <c r="B8" s="7" t="s">
        <v>139</v>
      </c>
    </row>
    <row r="9">
      <c r="A9" s="11" t="s">
        <v>34</v>
      </c>
      <c r="B9" s="13">
        <f>C6</f>
        <v>8</v>
      </c>
    </row>
    <row r="10">
      <c r="A10" s="11" t="s">
        <v>54</v>
      </c>
      <c r="B10" s="13">
        <f>E6</f>
        <v>2</v>
      </c>
    </row>
    <row r="11">
      <c r="A11" s="11" t="s">
        <v>129</v>
      </c>
      <c r="B11" s="13">
        <f>G6</f>
        <v>0</v>
      </c>
    </row>
    <row r="13" ht="19.5" customHeight="1">
      <c r="A13" s="26" t="s">
        <v>140</v>
      </c>
      <c r="B13" s="27"/>
      <c r="C13" s="27"/>
      <c r="D13" s="27"/>
      <c r="E13" s="27"/>
      <c r="F13" s="27"/>
      <c r="G13" s="27"/>
      <c r="H13" s="14"/>
    </row>
    <row r="14" ht="41.25" customHeight="1">
      <c r="A14" s="7" t="s">
        <v>141</v>
      </c>
      <c r="B14" s="7" t="s">
        <v>142</v>
      </c>
      <c r="C14" s="7" t="s">
        <v>143</v>
      </c>
      <c r="D14" s="7" t="s">
        <v>144</v>
      </c>
      <c r="E14" s="7" t="s">
        <v>145</v>
      </c>
      <c r="F14" s="7" t="s">
        <v>146</v>
      </c>
      <c r="G14" s="7" t="s">
        <v>147</v>
      </c>
      <c r="H14" s="7" t="s">
        <v>148</v>
      </c>
    </row>
    <row r="15" ht="69.75" customHeight="1">
      <c r="A15" s="10" t="s">
        <v>149</v>
      </c>
      <c r="B15" s="13" t="s">
        <v>36</v>
      </c>
      <c r="C15" s="31" t="s">
        <v>150</v>
      </c>
      <c r="D15" s="11" t="s">
        <v>151</v>
      </c>
      <c r="E15" s="11" t="s">
        <v>152</v>
      </c>
      <c r="F15" s="11" t="s">
        <v>153</v>
      </c>
      <c r="G15" s="13" t="s">
        <v>154</v>
      </c>
      <c r="H15" s="13" t="s">
        <v>155</v>
      </c>
    </row>
    <row r="16" ht="87.75" customHeight="1">
      <c r="A16" s="15" t="s">
        <v>156</v>
      </c>
      <c r="B16" s="18" t="s">
        <v>50</v>
      </c>
      <c r="C16" s="32" t="s">
        <v>157</v>
      </c>
      <c r="D16" s="16" t="s">
        <v>158</v>
      </c>
      <c r="E16" s="16" t="s">
        <v>159</v>
      </c>
      <c r="F16" s="16" t="s">
        <v>160</v>
      </c>
      <c r="G16" s="18" t="s">
        <v>161</v>
      </c>
      <c r="H16" s="18" t="s">
        <v>155</v>
      </c>
    </row>
    <row r="19" ht="15.75" customHeight="1">
      <c r="A19" s="33"/>
    </row>
    <row r="24" ht="15.75" customHeight="1"/>
    <row r="25"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autoFilter ref="$A$14:$H$16"/>
  <mergeCells count="12">
    <mergeCell ref="A1:H1"/>
    <mergeCell ref="A2:H2"/>
    <mergeCell ref="A4:H4"/>
    <mergeCell ref="A5:B5"/>
    <mergeCell ref="C5:D5"/>
    <mergeCell ref="E5:F5"/>
    <mergeCell ref="G5:H5"/>
    <mergeCell ref="G6:H6"/>
    <mergeCell ref="A6:B6"/>
    <mergeCell ref="C6:D6"/>
    <mergeCell ref="E6:F6"/>
    <mergeCell ref="A13:H13"/>
  </mergeCells>
  <printOptions/>
  <pageMargins bottom="1.0" footer="0.0" header="0.0" left="0.75" right="0.75" top="1.0"/>
  <pageSetup paperSize="9" orientation="portrait"/>
  <drawing r:id="rId1"/>
</worksheet>
</file>